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8_{89978BB7-D001-4109-ABD8-E3370A3F5A6E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Costos" sheetId="1" r:id="rId1"/>
    <sheet name="Beneficios" sheetId="2" r:id="rId2"/>
    <sheet name="ROI_Payback" sheetId="3" r:id="rId3"/>
    <sheet name="Dashboar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2" i="3"/>
  <c r="B1" i="3"/>
  <c r="B11" i="1"/>
  <c r="B6" i="3" l="1"/>
  <c r="B3" i="4" s="1"/>
  <c r="B4" i="3"/>
  <c r="B5" i="3" s="1"/>
  <c r="B2" i="4" s="1"/>
</calcChain>
</file>

<file path=xl/sharedStrings.xml><?xml version="1.0" encoding="utf-8"?>
<sst xmlns="http://schemas.openxmlformats.org/spreadsheetml/2006/main" count="27" uniqueCount="26">
  <si>
    <t>Concepto</t>
  </si>
  <si>
    <t>Costo MXN</t>
  </si>
  <si>
    <t>Azure OpenAI</t>
  </si>
  <si>
    <t>Integracion y pruebas</t>
  </si>
  <si>
    <t>Data Scientist</t>
  </si>
  <si>
    <t>Data Engineer</t>
  </si>
  <si>
    <t>Business Analyst</t>
  </si>
  <si>
    <t>Capacitacion</t>
  </si>
  <si>
    <t>Preparacion de datos</t>
  </si>
  <si>
    <t>Gestion del cambio</t>
  </si>
  <si>
    <t>Total Inversion</t>
  </si>
  <si>
    <t>Beneficio</t>
  </si>
  <si>
    <t>Monto MXN</t>
  </si>
  <si>
    <t>Reduccion horas hombre</t>
  </si>
  <si>
    <t>Menor retrabajo</t>
  </si>
  <si>
    <t>Menos errores catalogo</t>
  </si>
  <si>
    <t>Beneficio Anual Total</t>
  </si>
  <si>
    <t>Inversion Total</t>
  </si>
  <si>
    <t>Beneficio Anual</t>
  </si>
  <si>
    <t>Duracion (años)</t>
  </si>
  <si>
    <t>Ahorros Totales</t>
  </si>
  <si>
    <t>ROI</t>
  </si>
  <si>
    <t>Payback (años)</t>
  </si>
  <si>
    <t>Indicador</t>
  </si>
  <si>
    <t>Valor</t>
  </si>
  <si>
    <t>Payback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</si>
</sst>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[$$-409]* #,##0.00_);_([$$-409]* \(#,##0.00\);_([$$-409]* &quot;-&quot;??_);_(@_)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0" borderId="1" xfId="0" applyBorder="1"/>
    <xf numFmtId="0" fontId="1" fillId="2" borderId="1" xfId="0" applyFont="1" applyFill="1" applyBorder="1"/>
    <xf numFmtId="165" fontId="0" fillId="0" borderId="1" xfId="0" applyNumberFormat="1" applyBorder="1"/>
    <xf numFmtId="10" fontId="0" fillId="0" borderId="1" xfId="0" applyNumberFormat="1" applyBorder="1"/>
    <xf numFmtId="2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Costos del Proyecto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Costos!B1</c:f>
              <c:strCache>
                <c:ptCount val="1"/>
                <c:pt idx="0">
                  <c:v>Costo MXN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Costos!$A$2:$A$9</c:f>
              <c:strCache>
                <c:ptCount val="8"/>
                <c:pt idx="0">
                  <c:v>Azure OpenAI</c:v>
                </c:pt>
                <c:pt idx="1">
                  <c:v>Integracion y pruebas</c:v>
                </c:pt>
                <c:pt idx="2">
                  <c:v>Data Scientist</c:v>
                </c:pt>
                <c:pt idx="3">
                  <c:v>Data Engineer</c:v>
                </c:pt>
                <c:pt idx="4">
                  <c:v>Business Analyst</c:v>
                </c:pt>
                <c:pt idx="5">
                  <c:v>Capacitacion</c:v>
                </c:pt>
                <c:pt idx="6">
                  <c:v>Preparacion de datos</c:v>
                </c:pt>
                <c:pt idx="7">
                  <c:v>Gestion del cambio</c:v>
                </c:pt>
              </c:strCache>
            </c:strRef>
          </c:cat>
          <c:val>
            <c:numRef>
              <c:f>Costos!$B$2:$B$9</c:f>
              <c:numCache>
                <c:formatCode>_([$$-409]* #,##0.00_);_([$$-409]* \(#,##0.00\);_([$$-409]* "-"??_);_(@_)</c:formatCode>
                <c:ptCount val="8"/>
                <c:pt idx="0">
                  <c:v>60000</c:v>
                </c:pt>
                <c:pt idx="1">
                  <c:v>40000</c:v>
                </c:pt>
                <c:pt idx="2">
                  <c:v>120000</c:v>
                </c:pt>
                <c:pt idx="3">
                  <c:v>100000</c:v>
                </c:pt>
                <c:pt idx="4">
                  <c:v>50000</c:v>
                </c:pt>
                <c:pt idx="5">
                  <c:v>20000</c:v>
                </c:pt>
                <c:pt idx="6">
                  <c:v>40000</c:v>
                </c:pt>
                <c:pt idx="7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B-47B7-95D7-D6743089B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_([$$-409]* #,##0.00_);_([$$-409]* \(#,##0.00\);_([$$-409]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8343900" cy="50387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G24" sqref="G23:G24"/>
    </sheetView>
  </sheetViews>
  <sheetFormatPr defaultRowHeight="15"/>
  <cols>
    <col min="1" max="1" width="20.28515625" bestFit="1" customWidth="1"/>
    <col min="2" max="2" width="13" bestFit="1" customWidth="1"/>
  </cols>
  <sheetData>
    <row r="1" spans="1:2">
      <c r="A1" s="4" t="s">
        <v>0</v>
      </c>
      <c r="B1" s="4" t="s">
        <v>1</v>
      </c>
    </row>
    <row r="2" spans="1:2">
      <c r="A2" s="3" t="s">
        <v>2</v>
      </c>
      <c r="B2" s="5">
        <v>60000</v>
      </c>
    </row>
    <row r="3" spans="1:2">
      <c r="A3" s="3" t="s">
        <v>3</v>
      </c>
      <c r="B3" s="5">
        <v>40000</v>
      </c>
    </row>
    <row r="4" spans="1:2">
      <c r="A4" s="3" t="s">
        <v>4</v>
      </c>
      <c r="B4" s="5">
        <v>120000</v>
      </c>
    </row>
    <row r="5" spans="1:2">
      <c r="A5" s="3" t="s">
        <v>5</v>
      </c>
      <c r="B5" s="5">
        <v>100000</v>
      </c>
    </row>
    <row r="6" spans="1:2">
      <c r="A6" s="3" t="s">
        <v>6</v>
      </c>
      <c r="B6" s="5">
        <v>50000</v>
      </c>
    </row>
    <row r="7" spans="1:2">
      <c r="A7" s="3" t="s">
        <v>7</v>
      </c>
      <c r="B7" s="5">
        <v>20000</v>
      </c>
    </row>
    <row r="8" spans="1:2">
      <c r="A8" s="3" t="s">
        <v>8</v>
      </c>
      <c r="B8" s="5">
        <v>40000</v>
      </c>
    </row>
    <row r="9" spans="1:2">
      <c r="A9" s="3" t="s">
        <v>9</v>
      </c>
      <c r="B9" s="5">
        <v>20000</v>
      </c>
    </row>
    <row r="10" spans="1:2">
      <c r="A10" s="3"/>
      <c r="B10" s="5"/>
    </row>
    <row r="11" spans="1:2">
      <c r="A11" s="3" t="s">
        <v>10</v>
      </c>
      <c r="B11" s="5">
        <f>SUM(B2:B9)</f>
        <v>450000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15" sqref="B15"/>
    </sheetView>
  </sheetViews>
  <sheetFormatPr defaultRowHeight="15"/>
  <cols>
    <col min="1" max="1" width="23.28515625" bestFit="1" customWidth="1"/>
    <col min="2" max="2" width="13" bestFit="1" customWidth="1"/>
  </cols>
  <sheetData>
    <row r="1" spans="1:2">
      <c r="A1" s="4" t="s">
        <v>11</v>
      </c>
      <c r="B1" s="4" t="s">
        <v>12</v>
      </c>
    </row>
    <row r="2" spans="1:2">
      <c r="A2" s="3" t="s">
        <v>13</v>
      </c>
      <c r="B2" s="5">
        <v>432000</v>
      </c>
    </row>
    <row r="3" spans="1:2">
      <c r="A3" s="3" t="s">
        <v>14</v>
      </c>
      <c r="B3" s="5">
        <v>50000</v>
      </c>
    </row>
    <row r="4" spans="1:2">
      <c r="A4" s="3" t="s">
        <v>15</v>
      </c>
      <c r="B4" s="5">
        <v>30000</v>
      </c>
    </row>
    <row r="5" spans="1:2">
      <c r="A5" s="3"/>
      <c r="B5" s="5"/>
    </row>
    <row r="6" spans="1:2">
      <c r="A6" s="3" t="s">
        <v>16</v>
      </c>
      <c r="B6" s="5">
        <f>SUM(B2:B4)</f>
        <v>512000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E11" sqref="E11"/>
    </sheetView>
  </sheetViews>
  <sheetFormatPr defaultRowHeight="15"/>
  <cols>
    <col min="1" max="1" width="15" bestFit="1" customWidth="1"/>
    <col min="2" max="2" width="13.7109375" bestFit="1" customWidth="1"/>
  </cols>
  <sheetData>
    <row r="1" spans="1:2">
      <c r="A1" s="3" t="s">
        <v>17</v>
      </c>
      <c r="B1" s="5">
        <f>Costos!B11</f>
        <v>450000</v>
      </c>
    </row>
    <row r="2" spans="1:2">
      <c r="A2" s="3" t="s">
        <v>18</v>
      </c>
      <c r="B2" s="5">
        <f>Beneficios!B6</f>
        <v>512000</v>
      </c>
    </row>
    <row r="3" spans="1:2">
      <c r="A3" s="3" t="s">
        <v>19</v>
      </c>
      <c r="B3" s="3">
        <v>3</v>
      </c>
    </row>
    <row r="4" spans="1:2">
      <c r="A4" s="3" t="s">
        <v>20</v>
      </c>
      <c r="B4" s="8">
        <f>B2*B3</f>
        <v>1536000</v>
      </c>
    </row>
    <row r="5" spans="1:2">
      <c r="A5" s="3" t="s">
        <v>21</v>
      </c>
      <c r="B5" s="6">
        <f>(B4-B1)/B1</f>
        <v>2.4133333333333336</v>
      </c>
    </row>
    <row r="6" spans="1:2">
      <c r="A6" s="3" t="s">
        <v>22</v>
      </c>
      <c r="B6" s="7">
        <f>B1/B2</f>
        <v>0.87890625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tabSelected="1" workbookViewId="0">
      <selection activeCell="B22" sqref="B22"/>
    </sheetView>
  </sheetViews>
  <sheetFormatPr defaultRowHeight="15"/>
  <sheetData>
    <row r="1" spans="1:2">
      <c r="A1" t="s">
        <v>23</v>
      </c>
      <c r="B1" t="s">
        <v>24</v>
      </c>
    </row>
    <row r="2" spans="1:2">
      <c r="A2" t="s">
        <v>21</v>
      </c>
      <c r="B2" s="1">
        <f>ROI_Payback!B5</f>
        <v>2.4133333333333336</v>
      </c>
    </row>
    <row r="3" spans="1:2">
      <c r="A3" t="s">
        <v>25</v>
      </c>
      <c r="B3" s="2">
        <f>ROI_Payback!B6</f>
        <v>0.87890625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Martinez, Gibran</dc:creator>
  <cp:keywords/>
  <dc:description/>
  <cp:lastModifiedBy/>
  <cp:revision/>
  <dcterms:created xsi:type="dcterms:W3CDTF">2026-08-02T06:01:09Z</dcterms:created>
  <dcterms:modified xsi:type="dcterms:W3CDTF">2026-08-02T07:42:10Z</dcterms:modified>
  <cp:category/>
  <cp:contentStatus/>
</cp:coreProperties>
</file>